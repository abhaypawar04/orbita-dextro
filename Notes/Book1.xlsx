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<sst xmlns="http://schemas.openxmlformats.org/spreadsheetml/2006/main" count="45" uniqueCount="45">
  <si>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Student ID</t>
  </si>
  <si>
    <t>Name</t>
  </si>
  <si>
    <t>Course</t>
  </si>
  <si>
    <t>Marks</t>
  </si>
  <si>
    <t>vlookup</t>
  </si>
  <si>
    <t>Rahul</t>
  </si>
  <si>
    <t>BCA</t>
  </si>
  <si>
    <t>Priya</t>
  </si>
  <si>
    <t>Amit</t>
  </si>
  <si>
    <t>Neha</t>
  </si>
  <si>
    <t>Abhay</t>
  </si>
  <si>
    <t xml:space="preserve">Basic Formulas</t>
  </si>
  <si>
    <t>Product</t>
  </si>
  <si>
    <t>Sales</t>
  </si>
  <si>
    <t>Laptop</t>
  </si>
  <si>
    <t>toal</t>
  </si>
  <si>
    <t>Mouse</t>
  </si>
  <si>
    <t>count</t>
  </si>
  <si>
    <t>Keyboard</t>
  </si>
  <si>
    <t>Monitor</t>
  </si>
  <si>
    <t xml:space="preserve">ref : relavite and </t>
  </si>
  <si>
    <t>absolute</t>
  </si>
  <si>
    <t xml:space="preserve">if condition </t>
  </si>
  <si>
    <t>Student</t>
  </si>
  <si>
    <t>status</t>
  </si>
  <si>
    <t xml:space="preserve">index match</t>
  </si>
  <si>
    <t>A</t>
  </si>
  <si>
    <t>B</t>
  </si>
  <si>
    <t>C</t>
  </si>
  <si>
    <t xml:space="preserve">Employee ID</t>
  </si>
  <si>
    <t>Salary</t>
  </si>
  <si>
    <t>E101</t>
  </si>
  <si>
    <t>E102</t>
  </si>
  <si>
    <t>E103</t>
  </si>
  <si>
    <t>E104</t>
  </si>
  <si>
    <t>Sneha</t>
  </si>
  <si>
    <t>E105</t>
  </si>
  <si>
    <t xml:space="preserve">h look up</t>
  </si>
  <si>
    <t>D</t>
  </si>
  <si>
    <t>E</t>
  </si>
  <si>
    <t>Pen</t>
  </si>
  <si>
    <t>Book</t>
  </si>
  <si>
    <t>Bag</t>
  </si>
  <si>
    <t>Price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</si>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</sst>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right" vertical="center" wrapText="1"/>
    </xf>
    <xf fontId="1" fillId="0" borderId="1" numFmtId="0" xfId="0" applyFont="1" applyBorder="1" applyAlignment="1">
      <alignment horizontal="center" vertical="center" wrapText="1"/>
    </xf>
    <xf fontId="0" fillId="2" borderId="0" numFmtId="0" xfId="0" applyFill="1"/>
    <xf fontId="2" fillId="0" borderId="1" numFmtId="0" xfId="0" applyFont="1" applyBorder="1" applyAlignment="1">
      <alignment horizontal="right" vertical="center" wrapText="1"/>
    </xf>
    <xf fontId="2" fillId="0" borderId="1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left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right" vertical="center" wrapText="1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right" vertical="center" wrapText="1"/>
    </xf>
    <xf fontId="0" fillId="0" borderId="1" numFmtId="0" xfId="0" applyBorder="1">
      <protection hidden="0" locked="1"/>
    </xf>
    <xf fontId="0" fillId="0" borderId="1" numFmtId="0" xfId="0" applyBorder="1"/>
    <xf fontId="0" fillId="0" borderId="0" numFmtId="0" xfId="0">
      <protection hidden="0" locked="1"/>
    </xf>
    <xf fontId="1" fillId="0" borderId="0" numFmtId="0" xfId="0" applyFont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"/>
    </sheetView>
  </sheetViews>
  <sheetFormatPr defaultRowHeight="14.25"/>
  <cols>
    <col bestFit="1" min="1" max="1" width="15.22265625"/>
    <col customWidth="1" min="2" max="2" width="11.421875"/>
    <col bestFit="1" min="3" max="3" width="7.68359375"/>
    <col bestFit="1" min="4" max="4" width="8.140625"/>
  </cols>
  <sheetData>
    <row r="1" ht="15">
      <c r="A1" s="1" t="s">
        <v>0</v>
      </c>
      <c r="B1" s="2" t="s">
        <v>1</v>
      </c>
      <c r="C1" s="2" t="s">
        <v>2</v>
      </c>
      <c r="D1" s="1" t="s">
        <v>3</v>
      </c>
      <c r="J1" s="3" t="s">
        <v>4</v>
      </c>
    </row>
    <row r="2" ht="15">
      <c r="A2" s="4">
        <v>101</v>
      </c>
      <c r="B2" s="5" t="s">
        <v>5</v>
      </c>
      <c r="C2" s="5" t="s">
        <v>6</v>
      </c>
      <c r="D2" s="4">
        <v>85</v>
      </c>
    </row>
    <row r="3" ht="15">
      <c r="A3" s="4">
        <v>102</v>
      </c>
      <c r="B3" s="5" t="s">
        <v>7</v>
      </c>
      <c r="C3" s="5" t="s">
        <v>6</v>
      </c>
      <c r="D3" s="4">
        <v>92</v>
      </c>
    </row>
    <row r="4" ht="15">
      <c r="A4" s="4">
        <v>103</v>
      </c>
      <c r="B4" s="5" t="s">
        <v>8</v>
      </c>
      <c r="C4" s="5" t="s">
        <v>6</v>
      </c>
      <c r="D4" s="4">
        <v>78</v>
      </c>
    </row>
    <row r="5" ht="15">
      <c r="A5" s="4">
        <v>104</v>
      </c>
      <c r="B5" s="5" t="s">
        <v>9</v>
      </c>
      <c r="C5" s="5" t="s">
        <v>6</v>
      </c>
      <c r="D5" s="4">
        <v>88</v>
      </c>
    </row>
    <row r="6" ht="30">
      <c r="A6" s="4">
        <v>105</v>
      </c>
      <c r="B6" s="5" t="s">
        <v>10</v>
      </c>
      <c r="C6" s="5" t="s">
        <v>6</v>
      </c>
      <c r="D6" s="4">
        <v>95</v>
      </c>
      <c r="F6" t="str">
        <f>VLOOKUP(103,A2:D6,2)</f>
        <v>Amit</v>
      </c>
    </row>
    <row r="8" ht="14.25">
      <c r="A8" s="3"/>
      <c r="B8" s="3"/>
      <c r="C8" s="3"/>
      <c r="D8" s="3"/>
      <c r="E8" s="3"/>
      <c r="F8" s="3"/>
      <c r="G8" s="3"/>
      <c r="H8" s="3"/>
      <c r="I8" s="3"/>
      <c r="J8" s="3"/>
    </row>
    <row r="9" ht="15">
      <c r="A9" s="6" t="s">
        <v>11</v>
      </c>
    </row>
    <row r="10" ht="15">
      <c r="A10" s="7"/>
      <c r="B10" s="8"/>
    </row>
    <row r="11" ht="15">
      <c r="A11" s="9" t="s">
        <v>12</v>
      </c>
      <c r="B11" s="10" t="s">
        <v>13</v>
      </c>
    </row>
    <row r="12" ht="15">
      <c r="A12" s="9" t="s">
        <v>14</v>
      </c>
      <c r="B12" s="10">
        <v>50000</v>
      </c>
      <c r="D12" t="s">
        <v>15</v>
      </c>
      <c r="E12">
        <f>SUM(B12:B15)</f>
        <v>70000</v>
      </c>
    </row>
    <row r="13" ht="15">
      <c r="A13" s="9" t="s">
        <v>16</v>
      </c>
      <c r="B13" s="10">
        <v>2000</v>
      </c>
      <c r="D13" t="s">
        <v>17</v>
      </c>
      <c r="E13">
        <f>COUNT(B12:B15)</f>
        <v>4</v>
      </c>
      <c r="F13">
        <f>COUNTA(B12:B15)</f>
        <v>4</v>
      </c>
    </row>
    <row r="14" ht="15">
      <c r="A14" s="9" t="s">
        <v>18</v>
      </c>
      <c r="B14" s="10">
        <v>3000</v>
      </c>
    </row>
    <row r="15" ht="15">
      <c r="A15" s="9" t="s">
        <v>19</v>
      </c>
      <c r="B15" s="10">
        <v>15000</v>
      </c>
    </row>
    <row r="17" ht="14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9" ht="14.25">
      <c r="A19" t="s">
        <v>20</v>
      </c>
      <c r="B19" t="s">
        <v>21</v>
      </c>
    </row>
    <row r="20" ht="15">
      <c r="A20" s="4">
        <v>1</v>
      </c>
      <c r="B20" s="4">
        <v>101</v>
      </c>
      <c r="C20" s="11">
        <f>$B$20*$A$20</f>
        <v>101</v>
      </c>
      <c r="D20" s="12"/>
      <c r="E20" s="11">
        <f>$B$20*$A$20</f>
        <v>101</v>
      </c>
    </row>
    <row r="21" ht="15">
      <c r="A21" s="4">
        <v>2</v>
      </c>
      <c r="B21" s="4">
        <v>102</v>
      </c>
      <c r="C21" s="11">
        <f>B21*A21</f>
        <v>204</v>
      </c>
      <c r="D21" s="12"/>
      <c r="E21" s="11">
        <f>$B$20*$A$20</f>
        <v>101</v>
      </c>
      <c r="F21" s="13"/>
    </row>
    <row r="22" ht="15">
      <c r="A22" s="4">
        <v>3</v>
      </c>
      <c r="B22" s="4">
        <v>103</v>
      </c>
      <c r="C22" s="11">
        <f>B22*A22</f>
        <v>309</v>
      </c>
      <c r="D22" s="12"/>
      <c r="E22" s="11">
        <f>$B$20*$A$20</f>
        <v>101</v>
      </c>
      <c r="F22" s="13"/>
    </row>
    <row r="23" ht="15">
      <c r="A23" s="4">
        <v>4</v>
      </c>
      <c r="B23" s="4">
        <v>104</v>
      </c>
      <c r="C23" s="11">
        <f>B23*A23</f>
        <v>416</v>
      </c>
      <c r="D23" s="12"/>
      <c r="E23" s="12"/>
    </row>
    <row r="24" ht="15">
      <c r="A24" s="4">
        <v>5</v>
      </c>
      <c r="B24" s="4">
        <v>105</v>
      </c>
      <c r="C24" s="11">
        <f>B24*A24</f>
        <v>525</v>
      </c>
      <c r="D24" s="12"/>
      <c r="E24" s="12"/>
    </row>
    <row r="25" ht="14.25">
      <c r="C25" s="13"/>
    </row>
    <row r="26" ht="14.25">
      <c r="A26" s="3"/>
      <c r="B26" s="3"/>
      <c r="C26" s="3"/>
      <c r="D26" s="3"/>
      <c r="E26" s="3"/>
      <c r="F26" s="3"/>
      <c r="G26" s="3"/>
      <c r="H26" s="3"/>
      <c r="I26" s="3"/>
    </row>
    <row r="27" ht="14.25">
      <c r="A27" t="s">
        <v>22</v>
      </c>
    </row>
    <row r="28" ht="15">
      <c r="A28" s="2" t="s">
        <v>23</v>
      </c>
      <c r="B28" s="1" t="s">
        <v>3</v>
      </c>
      <c r="C28" s="12" t="s">
        <v>24</v>
      </c>
      <c r="D28" t="s">
        <v>24</v>
      </c>
    </row>
    <row r="29" ht="15">
      <c r="A29" s="5" t="s">
        <v>5</v>
      </c>
      <c r="B29" s="4">
        <v>85</v>
      </c>
      <c r="C29" s="12" t="str">
        <f>IF(B29&gt;=50,"pass","fail")</f>
        <v>pass</v>
      </c>
    </row>
    <row r="30" ht="15">
      <c r="A30" s="5" t="s">
        <v>7</v>
      </c>
      <c r="B30" s="4">
        <v>42</v>
      </c>
      <c r="C30" s="12" t="str">
        <f>IF(B30&gt;=50,"pass","fail")</f>
        <v>fail</v>
      </c>
      <c r="D30" s="13"/>
    </row>
    <row r="31" ht="15">
      <c r="A31" s="5" t="s">
        <v>8</v>
      </c>
      <c r="B31" s="4">
        <v>67</v>
      </c>
      <c r="C31" s="12" t="str">
        <f>IF(B31&gt;=50,"pass","fail")</f>
        <v>pass</v>
      </c>
      <c r="D31" s="13"/>
    </row>
    <row r="32" ht="15">
      <c r="A32" s="5" t="s">
        <v>9</v>
      </c>
      <c r="B32" s="4">
        <v>35</v>
      </c>
      <c r="C32" s="12" t="str">
        <f>IF(B32&gt;=50,"pass","fail")</f>
        <v>fail</v>
      </c>
      <c r="D32" s="13"/>
    </row>
    <row r="34" ht="14.25">
      <c r="A34" s="3"/>
      <c r="B34" s="3"/>
      <c r="C34" s="3"/>
      <c r="D34" s="3"/>
      <c r="E34" s="3"/>
      <c r="F34" s="3"/>
      <c r="G34" s="3"/>
      <c r="H34" s="3"/>
      <c r="I34" s="3"/>
    </row>
    <row r="35" ht="14.25">
      <c r="A35" t="s">
        <v>25</v>
      </c>
    </row>
    <row r="37" ht="15">
      <c r="A37" s="7" t="s">
        <v>26</v>
      </c>
      <c r="B37" s="7" t="s">
        <v>27</v>
      </c>
      <c r="C37" s="8" t="s">
        <v>28</v>
      </c>
    </row>
    <row r="38" ht="15">
      <c r="A38" s="14" t="s">
        <v>29</v>
      </c>
      <c r="B38" s="14" t="s">
        <v>1</v>
      </c>
      <c r="C38" s="8" t="s">
        <v>30</v>
      </c>
    </row>
    <row r="39" ht="15">
      <c r="A39" s="9" t="s">
        <v>31</v>
      </c>
      <c r="B39" s="9" t="s">
        <v>5</v>
      </c>
      <c r="C39" s="10">
        <v>30000</v>
      </c>
    </row>
    <row r="40" ht="15">
      <c r="A40" s="9" t="s">
        <v>32</v>
      </c>
      <c r="B40" s="9" t="s">
        <v>7</v>
      </c>
      <c r="C40" s="10">
        <v>35000</v>
      </c>
    </row>
    <row r="41" ht="15">
      <c r="A41" s="9" t="s">
        <v>33</v>
      </c>
      <c r="B41" s="9" t="s">
        <v>8</v>
      </c>
      <c r="C41" s="10">
        <v>40000</v>
      </c>
    </row>
    <row r="42" ht="15">
      <c r="A42" s="9" t="s">
        <v>34</v>
      </c>
      <c r="B42" s="9" t="s">
        <v>35</v>
      </c>
      <c r="C42" s="10">
        <v>45000</v>
      </c>
    </row>
    <row r="43" ht="15">
      <c r="A43" s="9" t="s">
        <v>36</v>
      </c>
      <c r="B43" s="9" t="s">
        <v>10</v>
      </c>
      <c r="C43" s="10">
        <v>50000</v>
      </c>
    </row>
    <row r="45" ht="14.25">
      <c r="A45" s="3"/>
      <c r="B45" s="3"/>
      <c r="C45" s="3"/>
      <c r="D45" s="3"/>
      <c r="E45" s="3"/>
      <c r="F45" s="3"/>
      <c r="G45" s="3"/>
      <c r="H45" s="3"/>
      <c r="I45" s="3"/>
    </row>
    <row r="46" ht="14.25">
      <c r="A46" t="s">
        <v>37</v>
      </c>
    </row>
    <row r="47" ht="15">
      <c r="A47" s="2" t="s">
        <v>26</v>
      </c>
      <c r="B47" s="2" t="s">
        <v>27</v>
      </c>
      <c r="C47" s="2" t="s">
        <v>28</v>
      </c>
      <c r="D47" s="2" t="s">
        <v>38</v>
      </c>
      <c r="E47" s="2" t="s">
        <v>39</v>
      </c>
    </row>
    <row r="48" ht="15">
      <c r="A48" s="15" t="s">
        <v>12</v>
      </c>
      <c r="B48" s="5" t="s">
        <v>40</v>
      </c>
      <c r="C48" s="5" t="s">
        <v>41</v>
      </c>
      <c r="D48" s="5" t="s">
        <v>42</v>
      </c>
      <c r="E48" s="5" t="s">
        <v>14</v>
      </c>
    </row>
    <row r="49" ht="15">
      <c r="A49" s="15" t="s">
        <v>43</v>
      </c>
      <c r="B49" s="5">
        <v>10</v>
      </c>
      <c r="C49" s="5">
        <v>50</v>
      </c>
      <c r="D49" s="5">
        <v>500</v>
      </c>
      <c r="E49" s="5">
        <v>50000</v>
      </c>
    </row>
    <row r="50" ht="15">
      <c r="A50" s="15" t="s">
        <v>44</v>
      </c>
      <c r="B50" s="5">
        <v>100</v>
      </c>
      <c r="C50" s="5">
        <v>50</v>
      </c>
      <c r="D50" s="5">
        <v>20</v>
      </c>
      <c r="E50" s="5">
        <v>5</v>
      </c>
    </row>
    <row r="53" ht="14.25">
      <c r="D53">
        <f>HLOOKUP("Bag",A48:E50,2,FALSE)</f>
        <v>500</v>
      </c>
    </row>
    <row r="55" ht="14.25">
      <c r="A55" s="3"/>
      <c r="B55" s="3"/>
      <c r="C55" s="3"/>
      <c r="D55" s="3"/>
      <c r="E55" s="3"/>
      <c r="F55" s="3"/>
      <c r="G55" s="3"/>
      <c r="H55" s="3"/>
      <c r="I55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2026-09-10T04:54:26Z</dcterms:modified>
</cp:coreProperties>
</file>